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<sst xmlns="http://schemas.openxmlformats.org/spreadsheetml/2006/main" count="62" uniqueCount="40">
  <si>
    <t>ID</t>
  </si>
  <si>
    <t>Full Name</t>
  </si>
  <si>
    <t>Department</t>
  </si>
  <si>
    <t>Hire Date</t>
  </si>
  <si>
    <t>Birth Date</t>
  </si>
  <si>
    <t>Salary</t>
  </si>
  <si>
    <t>Status</t>
  </si>
  <si>
    <t>Email</t>
  </si>
  <si>
    <t>ALICE johnson</t>
  </si>
  <si>
    <t>Marketing</t>
  </si>
  <si>
    <t>Active</t>
  </si>
  <si>
    <t>alice.johnson@company.com</t>
  </si>
  <si>
    <t>bob SMITH</t>
  </si>
  <si>
    <t>Engineering</t>
  </si>
  <si>
    <t>bob.smith@company.com</t>
  </si>
  <si>
    <t>Carol-White</t>
  </si>
  <si>
    <t>HR</t>
  </si>
  <si>
    <t>Inactive</t>
  </si>
  <si>
    <t>carol.white@company.com</t>
  </si>
  <si>
    <t>d.a.v.i.d brown</t>
  </si>
  <si>
    <t>DAVID.BROWN@COMPANY.COM</t>
  </si>
  <si>
    <t>EmMa DaViS</t>
  </si>
  <si>
    <t>emma.davis@company.com</t>
  </si>
  <si>
    <t>FRANK_Miller</t>
  </si>
  <si>
    <t>Finance</t>
  </si>
  <si>
    <t>frank.miller@company.com</t>
  </si>
  <si>
    <t>grace.lee</t>
  </si>
  <si>
    <t>grace.lee@company.com</t>
  </si>
  <si>
    <t>Henry W i l s o n</t>
  </si>
  <si>
    <t>henry.wilson@company.com</t>
  </si>
  <si>
    <t>(Isabella Moore)</t>
  </si>
  <si>
    <t>isabella.moore@company.com</t>
  </si>
  <si>
    <t>james--taylor</t>
  </si>
  <si>
    <t>james.taylor@company.com</t>
  </si>
  <si>
    <t>CLEAN DATA</t>
  </si>
  <si>
    <t>TOTAL NO. OF EMPLOYEES</t>
  </si>
  <si>
    <t>TOTAL SALARY</t>
  </si>
  <si>
    <t>AVERAGE SALARY</t>
  </si>
  <si>
    <t>MAX SALARY</t>
  </si>
  <si>
    <t>MIN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</si>
</sst>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6" max="6" width="17.75"/>
    <col customWidth="1" min="8" max="8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1" t="s">
        <v>8</v>
      </c>
      <c r="C2" s="1" t="s">
        <v>9</v>
      </c>
      <c r="D2" s="3">
        <v>43539.0</v>
      </c>
      <c r="E2" s="3">
        <v>33045.0</v>
      </c>
      <c r="F2" s="2">
        <v>55000.0</v>
      </c>
      <c r="G2" s="1" t="s">
        <v>10</v>
      </c>
      <c r="H2" s="1" t="s">
        <v>11</v>
      </c>
    </row>
    <row r="3">
      <c r="A3" s="2">
        <v>2.0</v>
      </c>
      <c r="B3" s="1" t="s">
        <v>12</v>
      </c>
      <c r="C3" s="1" t="s">
        <v>13</v>
      </c>
      <c r="D3" s="3">
        <v>44378.0</v>
      </c>
      <c r="E3" s="3">
        <v>31359.0</v>
      </c>
      <c r="F3" s="2">
        <v>72000.0</v>
      </c>
      <c r="G3" s="1" t="s">
        <v>10</v>
      </c>
      <c r="H3" s="1" t="s">
        <v>14</v>
      </c>
    </row>
    <row r="4">
      <c r="A4" s="2">
        <v>3.0</v>
      </c>
      <c r="B4" s="1" t="s">
        <v>15</v>
      </c>
      <c r="C4" s="1" t="s">
        <v>16</v>
      </c>
      <c r="D4" s="3">
        <v>43426.0</v>
      </c>
      <c r="E4" s="3">
        <v>33677.0</v>
      </c>
      <c r="F4" s="2">
        <v>48000.0</v>
      </c>
      <c r="G4" s="1" t="s">
        <v>17</v>
      </c>
      <c r="H4" s="1" t="s">
        <v>18</v>
      </c>
    </row>
    <row r="5">
      <c r="A5" s="2">
        <v>4.0</v>
      </c>
      <c r="B5" s="1" t="s">
        <v>19</v>
      </c>
      <c r="C5" s="1" t="s">
        <v>13</v>
      </c>
      <c r="D5" s="3">
        <v>43961.0</v>
      </c>
      <c r="E5" s="3">
        <v>32416.0</v>
      </c>
      <c r="F5" s="2">
        <v>80000.0</v>
      </c>
      <c r="G5" s="1" t="s">
        <v>10</v>
      </c>
      <c r="H5" s="1" t="s">
        <v>20</v>
      </c>
    </row>
    <row r="6">
      <c r="A6" s="2">
        <v>5.0</v>
      </c>
      <c r="B6" s="1" t="s">
        <v>21</v>
      </c>
      <c r="C6" s="1" t="s">
        <v>9</v>
      </c>
      <c r="D6" s="3">
        <v>44579.0</v>
      </c>
      <c r="E6" s="3">
        <v>35038.0</v>
      </c>
      <c r="F6" s="2">
        <v>52000.0</v>
      </c>
      <c r="G6" s="1" t="s">
        <v>10</v>
      </c>
      <c r="H6" s="1" t="s">
        <v>22</v>
      </c>
    </row>
    <row r="7">
      <c r="A7" s="2">
        <v>6.0</v>
      </c>
      <c r="B7" s="1" t="s">
        <v>23</v>
      </c>
      <c r="C7" s="1" t="s">
        <v>24</v>
      </c>
      <c r="D7" s="3">
        <v>42981.0</v>
      </c>
      <c r="E7" s="3">
        <v>29421.0</v>
      </c>
      <c r="F7" s="2">
        <v>91000.0</v>
      </c>
      <c r="G7" s="1" t="s">
        <v>10</v>
      </c>
      <c r="H7" s="1" t="s">
        <v>25</v>
      </c>
    </row>
    <row r="8">
      <c r="A8" s="2">
        <v>7.0</v>
      </c>
      <c r="B8" s="1" t="s">
        <v>26</v>
      </c>
      <c r="C8" s="1" t="s">
        <v>24</v>
      </c>
      <c r="D8" s="3">
        <v>45041.0</v>
      </c>
      <c r="E8" s="3">
        <v>35854.0</v>
      </c>
      <c r="F8" s="2">
        <v>45000.0</v>
      </c>
      <c r="G8" s="1" t="s">
        <v>17</v>
      </c>
      <c r="H8" s="1" t="s">
        <v>27</v>
      </c>
    </row>
    <row r="9">
      <c r="A9" s="2">
        <v>8.0</v>
      </c>
      <c r="B9" s="1" t="s">
        <v>28</v>
      </c>
      <c r="C9" s="1" t="s">
        <v>16</v>
      </c>
      <c r="D9" s="3">
        <v>42715.0</v>
      </c>
      <c r="E9" s="3">
        <v>28991.0</v>
      </c>
      <c r="F9" s="2">
        <v>60000.0</v>
      </c>
      <c r="G9" s="1" t="s">
        <v>10</v>
      </c>
      <c r="H9" s="1" t="s">
        <v>29</v>
      </c>
    </row>
    <row r="10">
      <c r="A10" s="2">
        <v>9.0</v>
      </c>
      <c r="B10" s="1" t="s">
        <v>30</v>
      </c>
      <c r="C10" s="1" t="s">
        <v>13</v>
      </c>
      <c r="D10" s="3">
        <v>44417.0</v>
      </c>
      <c r="E10" s="3">
        <v>34264.0</v>
      </c>
      <c r="F10" s="2">
        <v>76000.0</v>
      </c>
      <c r="G10" s="1" t="s">
        <v>10</v>
      </c>
      <c r="H10" s="1" t="s">
        <v>31</v>
      </c>
    </row>
    <row r="11">
      <c r="A11" s="2">
        <v>10.0</v>
      </c>
      <c r="B11" s="1" t="s">
        <v>32</v>
      </c>
      <c r="C11" s="1" t="s">
        <v>9</v>
      </c>
      <c r="D11" s="3">
        <v>43646.0</v>
      </c>
      <c r="E11" s="3">
        <v>33339.0</v>
      </c>
      <c r="F11" s="2">
        <v>53000.0</v>
      </c>
      <c r="G11" s="1" t="s">
        <v>17</v>
      </c>
      <c r="H11" s="1" t="s">
        <v>33</v>
      </c>
    </row>
    <row r="15">
      <c r="A15" s="4"/>
      <c r="B15" s="5" t="s">
        <v>34</v>
      </c>
      <c r="C15" s="6"/>
      <c r="D15" s="6"/>
      <c r="E15" s="6"/>
      <c r="F15" s="6"/>
      <c r="G15" s="7"/>
      <c r="H15" s="4"/>
    </row>
    <row r="16">
      <c r="A16" s="8" t="s">
        <v>0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</row>
    <row r="17">
      <c r="A17" s="9">
        <v>1.0</v>
      </c>
      <c r="B17" s="4" t="str">
        <f t="shared" ref="B17:B18" si="1">PROPER(TRIM(SUBSTITUTE(B2,".","")))</f>
        <v>Alice Johnson</v>
      </c>
      <c r="C17" s="4" t="str">
        <f t="shared" ref="C17:C26" si="2">PROPER(TRIM(C2))</f>
        <v>Marketing</v>
      </c>
      <c r="D17" s="4" t="str">
        <f t="shared" ref="D17:D26" si="3">IF(YEAR(D2)&lt;2020,"Old Staf","New Staff")</f>
        <v>Old Staf</v>
      </c>
      <c r="E17" s="10">
        <v>33045.0</v>
      </c>
      <c r="F17" s="9" t="str">
        <f t="shared" ref="F17:F26" si="4">IF(F2&gt;70000,"High",IF(F2&gt;=50000,"Mid","Low"))</f>
        <v>Mid</v>
      </c>
      <c r="G17" s="4" t="str">
        <f t="shared" ref="G17:G26" si="5">UPPER(TRIM(G2))</f>
        <v>ACTIVE</v>
      </c>
      <c r="H17" s="4" t="str">
        <f t="shared" ref="H17:H26" si="6">LOWER(TRIM(H2))</f>
        <v>alice.johnson@company.com</v>
      </c>
    </row>
    <row r="18">
      <c r="A18" s="9">
        <v>2.0</v>
      </c>
      <c r="B18" s="4" t="str">
        <f t="shared" si="1"/>
        <v>Bob Smith</v>
      </c>
      <c r="C18" s="4" t="str">
        <f t="shared" si="2"/>
        <v>Engineering</v>
      </c>
      <c r="D18" s="4" t="str">
        <f t="shared" si="3"/>
        <v>New Staff</v>
      </c>
      <c r="E18" s="10">
        <v>31359.0</v>
      </c>
      <c r="F18" s="9" t="str">
        <f t="shared" si="4"/>
        <v>High</v>
      </c>
      <c r="G18" s="4" t="str">
        <f t="shared" si="5"/>
        <v>ACTIVE</v>
      </c>
      <c r="H18" s="4" t="str">
        <f t="shared" si="6"/>
        <v>bob.smith@company.com</v>
      </c>
    </row>
    <row r="19">
      <c r="A19" s="9">
        <v>3.0</v>
      </c>
      <c r="B19" s="4" t="str">
        <f>PROPER(TRIM(SUBSTITUTE(B4,"-"," ")))</f>
        <v>Carol White</v>
      </c>
      <c r="C19" s="4" t="str">
        <f t="shared" si="2"/>
        <v>Hr</v>
      </c>
      <c r="D19" s="4" t="str">
        <f t="shared" si="3"/>
        <v>Old Staf</v>
      </c>
      <c r="E19" s="10">
        <v>33677.0</v>
      </c>
      <c r="F19" s="9" t="str">
        <f t="shared" si="4"/>
        <v>Low</v>
      </c>
      <c r="G19" s="4" t="str">
        <f t="shared" si="5"/>
        <v>INACTIVE</v>
      </c>
      <c r="H19" s="4" t="str">
        <f t="shared" si="6"/>
        <v>carol.white@company.com</v>
      </c>
    </row>
    <row r="20">
      <c r="A20" s="9">
        <v>4.0</v>
      </c>
      <c r="B20" s="4" t="str">
        <f t="shared" ref="B20:B21" si="7">PROPER(TRIM(SUBSTITUTE(B5,".","")))</f>
        <v>David Brown</v>
      </c>
      <c r="C20" s="4" t="str">
        <f t="shared" si="2"/>
        <v>Engineering</v>
      </c>
      <c r="D20" s="4" t="str">
        <f t="shared" si="3"/>
        <v>New Staff</v>
      </c>
      <c r="E20" s="10">
        <v>32416.0</v>
      </c>
      <c r="F20" s="9" t="str">
        <f t="shared" si="4"/>
        <v>High</v>
      </c>
      <c r="G20" s="4" t="str">
        <f t="shared" si="5"/>
        <v>ACTIVE</v>
      </c>
      <c r="H20" s="4" t="str">
        <f t="shared" si="6"/>
        <v>david.brown@company.com</v>
      </c>
    </row>
    <row r="21">
      <c r="A21" s="9">
        <v>5.0</v>
      </c>
      <c r="B21" s="4" t="str">
        <f t="shared" si="7"/>
        <v>Emma Davis</v>
      </c>
      <c r="C21" s="4" t="str">
        <f t="shared" si="2"/>
        <v>Marketing</v>
      </c>
      <c r="D21" s="4" t="str">
        <f t="shared" si="3"/>
        <v>New Staff</v>
      </c>
      <c r="E21" s="10">
        <v>35038.0</v>
      </c>
      <c r="F21" s="9" t="str">
        <f t="shared" si="4"/>
        <v>Mid</v>
      </c>
      <c r="G21" s="4" t="str">
        <f t="shared" si="5"/>
        <v>ACTIVE</v>
      </c>
      <c r="H21" s="4" t="str">
        <f t="shared" si="6"/>
        <v>emma.davis@company.com</v>
      </c>
    </row>
    <row r="22">
      <c r="A22" s="9">
        <v>6.0</v>
      </c>
      <c r="B22" s="4" t="str">
        <f>PROPER(TRIM(SUBSTITUTE(B7,"_"," ")))</f>
        <v>Frank Miller</v>
      </c>
      <c r="C22" s="4" t="str">
        <f t="shared" si="2"/>
        <v>Finance</v>
      </c>
      <c r="D22" s="4" t="str">
        <f t="shared" si="3"/>
        <v>Old Staf</v>
      </c>
      <c r="E22" s="10">
        <v>29421.0</v>
      </c>
      <c r="F22" s="9" t="str">
        <f t="shared" si="4"/>
        <v>High</v>
      </c>
      <c r="G22" s="4" t="str">
        <f t="shared" si="5"/>
        <v>ACTIVE</v>
      </c>
      <c r="H22" s="4" t="str">
        <f t="shared" si="6"/>
        <v>frank.miller@company.com</v>
      </c>
    </row>
    <row r="23">
      <c r="A23" s="9">
        <v>7.0</v>
      </c>
      <c r="B23" s="4" t="str">
        <f>PROPER(TRIM(SUBSTITUTE(B8,"."," ")))</f>
        <v>Grace Lee</v>
      </c>
      <c r="C23" s="4" t="str">
        <f t="shared" si="2"/>
        <v>Finance</v>
      </c>
      <c r="D23" s="4" t="str">
        <f t="shared" si="3"/>
        <v>New Staff</v>
      </c>
      <c r="E23" s="10">
        <v>35854.0</v>
      </c>
      <c r="F23" s="9" t="str">
        <f t="shared" si="4"/>
        <v>Low</v>
      </c>
      <c r="G23" s="4" t="str">
        <f t="shared" si="5"/>
        <v>INACTIVE</v>
      </c>
      <c r="H23" s="4" t="str">
        <f t="shared" si="6"/>
        <v>grace.lee@company.com</v>
      </c>
    </row>
    <row r="24">
      <c r="A24" s="9">
        <v>8.0</v>
      </c>
      <c r="B24" s="4" t="str">
        <f>PROPER(TRIM(SUBSTITUTE(SUBSTITUTE(B9," ",""),"","")))</f>
        <v>Henrywilson</v>
      </c>
      <c r="C24" s="4" t="str">
        <f t="shared" si="2"/>
        <v>Hr</v>
      </c>
      <c r="D24" s="4" t="str">
        <f t="shared" si="3"/>
        <v>Old Staf</v>
      </c>
      <c r="E24" s="10">
        <v>28991.0</v>
      </c>
      <c r="F24" s="9" t="str">
        <f t="shared" si="4"/>
        <v>Mid</v>
      </c>
      <c r="G24" s="4" t="str">
        <f t="shared" si="5"/>
        <v>ACTIVE</v>
      </c>
      <c r="H24" s="4" t="str">
        <f t="shared" si="6"/>
        <v>henry.wilson@company.com</v>
      </c>
    </row>
    <row r="25">
      <c r="A25" s="9">
        <v>9.0</v>
      </c>
      <c r="B25" s="4" t="str">
        <f>PROPER(TRIM(SUBSTITUTE(SUBSTITUTE(B10,"("," "),")"," ")))</f>
        <v>Isabella Moore</v>
      </c>
      <c r="C25" s="4" t="str">
        <f t="shared" si="2"/>
        <v>Engineering</v>
      </c>
      <c r="D25" s="4" t="str">
        <f t="shared" si="3"/>
        <v>New Staff</v>
      </c>
      <c r="E25" s="10">
        <v>34264.0</v>
      </c>
      <c r="F25" s="9" t="str">
        <f t="shared" si="4"/>
        <v>High</v>
      </c>
      <c r="G25" s="4" t="str">
        <f t="shared" si="5"/>
        <v>ACTIVE</v>
      </c>
      <c r="H25" s="4" t="str">
        <f t="shared" si="6"/>
        <v>isabella.moore@company.com</v>
      </c>
    </row>
    <row r="26">
      <c r="A26" s="9">
        <v>10.0</v>
      </c>
      <c r="B26" s="4" t="str">
        <f>PROPER(TRIM(SUBSTITUTE(B11,"-"," ")))</f>
        <v>James Taylor</v>
      </c>
      <c r="C26" s="4" t="str">
        <f t="shared" si="2"/>
        <v>Marketing</v>
      </c>
      <c r="D26" s="4" t="str">
        <f t="shared" si="3"/>
        <v>Old Staf</v>
      </c>
      <c r="E26" s="10">
        <v>33339.0</v>
      </c>
      <c r="F26" s="9" t="str">
        <f t="shared" si="4"/>
        <v>Mid</v>
      </c>
      <c r="G26" s="4" t="str">
        <f t="shared" si="5"/>
        <v>INACTIVE</v>
      </c>
      <c r="H26" s="4" t="str">
        <f t="shared" si="6"/>
        <v>james.taylor@company.com</v>
      </c>
    </row>
    <row r="27">
      <c r="A27" s="4"/>
      <c r="B27" s="11"/>
      <c r="C27" s="12"/>
      <c r="D27" s="4"/>
      <c r="E27" s="4"/>
      <c r="F27" s="11"/>
      <c r="G27" s="12"/>
      <c r="H27" s="4"/>
    </row>
    <row r="28">
      <c r="A28" s="4"/>
      <c r="B28" s="11" t="s">
        <v>35</v>
      </c>
      <c r="C28" s="12">
        <f>COUNTA(B17:B26)</f>
        <v>10</v>
      </c>
      <c r="D28" s="4"/>
      <c r="E28" s="4"/>
      <c r="F28" s="11" t="s">
        <v>36</v>
      </c>
      <c r="G28" s="12">
        <f>SUM(F2:F11)</f>
        <v>632000</v>
      </c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11" t="s">
        <v>37</v>
      </c>
      <c r="G30" s="12">
        <f>AVERAGE(F2:F11)</f>
        <v>63200</v>
      </c>
      <c r="H30" s="4"/>
    </row>
    <row r="31">
      <c r="A31" s="4"/>
      <c r="B31" s="4"/>
      <c r="C31" s="4"/>
      <c r="D31" s="4"/>
      <c r="E31" s="4"/>
      <c r="F31" s="4"/>
      <c r="G31" s="4"/>
      <c r="H31" s="4"/>
    </row>
    <row r="32">
      <c r="A32" s="4"/>
      <c r="B32" s="4"/>
      <c r="C32" s="4"/>
      <c r="D32" s="4"/>
      <c r="E32" s="4"/>
      <c r="F32" s="11" t="s">
        <v>38</v>
      </c>
      <c r="G32" s="12">
        <f>MAX(F2:F11)</f>
        <v>91000</v>
      </c>
      <c r="H32" s="4"/>
    </row>
    <row r="33">
      <c r="A33" s="4"/>
      <c r="B33" s="4"/>
      <c r="C33" s="4"/>
      <c r="D33" s="4"/>
      <c r="E33" s="4"/>
      <c r="F33" s="4"/>
      <c r="G33" s="4"/>
      <c r="H33" s="4"/>
    </row>
    <row r="34">
      <c r="A34" s="4"/>
      <c r="B34" s="4"/>
      <c r="C34" s="4"/>
      <c r="D34" s="4"/>
      <c r="E34" s="4"/>
      <c r="F34" s="11" t="s">
        <v>39</v>
      </c>
      <c r="G34" s="11">
        <f>MIN(F2:F11)</f>
        <v>45000</v>
      </c>
      <c r="H34" s="4"/>
    </row>
  </sheetData>
  <mergeCells count="1">
    <mergeCell ref="B15:G15"/>
  </mergeCells>
  <drawing r:id="rId1"/>
</worksheet>
</file>